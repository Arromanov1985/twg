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6\Downloads\"/>
    </mc:Choice>
  </mc:AlternateContent>
  <bookViews>
    <workbookView xWindow="0" yWindow="0" windowWidth="28800" windowHeight="12330"/>
  </bookViews>
  <sheets>
    <sheet name="equipment_catalog" sheetId="1" r:id="rId1"/>
  </sheets>
  <calcPr calcId="162913" refMode="R1C1"/>
</workbook>
</file>

<file path=xl/calcChain.xml><?xml version="1.0" encoding="utf-8"?>
<calcChain xmlns="http://schemas.openxmlformats.org/spreadsheetml/2006/main">
  <c r="L12" i="1" l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3" i="1"/>
  <c r="F4" i="1"/>
  <c r="F5" i="1"/>
  <c r="F6" i="1"/>
  <c r="F7" i="1"/>
  <c r="F2" i="1"/>
  <c r="L4" i="1"/>
  <c r="L3" i="1"/>
  <c r="L2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1" i="1"/>
  <c r="L10" i="1"/>
  <c r="L9" i="1"/>
  <c r="L8" i="1"/>
  <c r="L7" i="1"/>
  <c r="L5" i="1"/>
</calcChain>
</file>

<file path=xl/sharedStrings.xml><?xml version="1.0" encoding="utf-8"?>
<sst xmlns="http://schemas.openxmlformats.org/spreadsheetml/2006/main" count="338" uniqueCount="151">
  <si>
    <t>code</t>
  </si>
  <si>
    <t>name</t>
  </si>
  <si>
    <t>stage</t>
  </si>
  <si>
    <t>category</t>
  </si>
  <si>
    <t>description</t>
  </si>
  <si>
    <t>price</t>
  </si>
  <si>
    <t>image</t>
  </si>
  <si>
    <t>base</t>
  </si>
  <si>
    <t>sort_order</t>
  </si>
  <si>
    <t>Розница</t>
  </si>
  <si>
    <t>Партнер</t>
  </si>
  <si>
    <t>Выгода</t>
  </si>
  <si>
    <t>TWG DF-100</t>
  </si>
  <si>
    <t>1</t>
  </si>
  <si>
    <t>prefilter</t>
  </si>
  <si>
    <t>2</t>
  </si>
  <si>
    <t>aeration</t>
  </si>
  <si>
    <t>3</t>
  </si>
  <si>
    <t>iron</t>
  </si>
  <si>
    <t>4</t>
  </si>
  <si>
    <t>softener</t>
  </si>
  <si>
    <t>TWG SALT-70L PRO</t>
  </si>
  <si>
    <t>salt</t>
  </si>
  <si>
    <t>6</t>
  </si>
  <si>
    <t>fine_filter</t>
  </si>
  <si>
    <t>PP20</t>
  </si>
  <si>
    <t>7</t>
  </si>
  <si>
    <t>cartridge</t>
  </si>
  <si>
    <t>8</t>
  </si>
  <si>
    <t>drinking</t>
  </si>
  <si>
    <t>FRP0844</t>
  </si>
  <si>
    <t>FRP1044</t>
  </si>
  <si>
    <t>FRP1054</t>
  </si>
  <si>
    <t>FRP1252</t>
  </si>
  <si>
    <t>FRP1354</t>
  </si>
  <si>
    <t>TWG FRP0844, Корпус фильтра усиленный 0844 0-2,5" с водоподъёмной трубой 27мм, верхним и нижним распределителями, Pмакс = 10 атм, V=31л, Vфм=18,75л</t>
  </si>
  <si>
    <t>TWG FRP1044, Корпус фильтра усиленный 1044 0-2,5" с водоподъёмной трубой 27 мм, верхним и нижним распределителями, Pмакс = 10 атм, V=50 л, Vфм=25 л</t>
  </si>
  <si>
    <t>TWG FRP1054. Корпус фильтра усиленный 1054 0-2,5" с водоподъёмной трубой 27мм, верхним и нижним распределителями повышенной производительностью, Pмакс = 10 атм, V=62л, Vфм=37,5л</t>
  </si>
  <si>
    <t>TWG FRP1252, Корпус фильтра усиленный 1252 0-2,5" с водоподъёмной трубой 27мм, верхним и нижним распределителями повышенной производительностью, Pмакс = 10 атм, V=85л, Vфм=50,0л</t>
  </si>
  <si>
    <t>TWG FRP1354. Корпус фильтра усиленный 1354 0-2,5" с водоподъёмной трубой 27мм, верхним и нижним распределителями повышенной производительностью, Pмакс = 10 атм, V=104л, VФМ=62,5л</t>
  </si>
  <si>
    <t>TWG TOOL-250</t>
  </si>
  <si>
    <t>TWG TOOL-250. Воронка для засыпки фильтрующих загрузок в корпуса фильтров с горловиной 2,5"</t>
  </si>
  <si>
    <t>TWG SALT-70L PRO, Бак солевой 70 л ПРОФИ (бак, крышка, фальшдно, стаканы, солезаборный механизм с ВЕРХНИМ клапаном, фиксатор, трубка 2 м)</t>
  </si>
  <si>
    <t>TWG AERO-SET-5</t>
  </si>
  <si>
    <t>TWG AERO-4-6</t>
  </si>
  <si>
    <t>TWG AERO-BR1054</t>
  </si>
  <si>
    <t>TWG AERO-BR</t>
  </si>
  <si>
    <t>TWG AERO-100</t>
  </si>
  <si>
    <t>TWG AERO-FS</t>
  </si>
  <si>
    <t>TWG AERO-SET-5, КОМПЛЕКТ аэрационный 5 для ВОДОПОДГОТОВКИ (В Составе: Аэрационный компрессор TWG AERO-4-6 с реле протока воды TWG AERO-FS и хомутовым кронштейном TWG AERO-BR1054)</t>
  </si>
  <si>
    <t>TWG AERO-4-6. Аэрационный компрессор (4.0 бар @ 6.0 л/мин, 150 Вт)  Система охлаждения 3 СТУПЕНИ  с защитой от перегрева,  обратный клапан в пневм. линии,  манометр нержавеющая сталь.</t>
  </si>
  <si>
    <t>TWG AERO-BR1054, Монтажный комплект для монтажа компрессора TWG AERO-4-6 на  колонну 1054. Хомуты из нержавеющей стали. Компонует все компоненты в аэрации в одно изделие</t>
  </si>
  <si>
    <t>TWG AERO-BR, Кронштейн МЕТАЛЛИЧЕСКИЙ  СТАНДАРТНЫЙ  предназначен для НАСТЕННОГО монтажа аэрационного компрессора TWG AERO-4-6.</t>
  </si>
  <si>
    <t>TWG AERO-100. Аэрационный оголовок (угловые фитинги, основание 2,5", вх/вых 1"рн, Q&lt;6.0м3/ч при ∆P=1.0 бар). РАСШИРЕННАЯ КОМПЛЕКТАЦИЯ: 1) поворотные быстросъёмные угловые фитинги, 2) нейлоновые стяжки для монтажа воздухоотводчика - 4шт, 3) трубка 1/4" для подключения компрессора и отвода водовоздушной смеси - 3м, 4) седелка для трубы 32...50 мм - 1шт, 5) обратные клапаны 1/4" - 2 шт.</t>
  </si>
  <si>
    <t>TWG AERO-FS. Реле протока воды с гидрозап манометром (вх/вых 1"рн, Q&gt;100л/ч)</t>
  </si>
  <si>
    <t>TWG BP-034</t>
  </si>
  <si>
    <t>TWG BP-100</t>
  </si>
  <si>
    <t>TWG BP-034. Байпас для блоков управления VR5D-034, VR5U-034 (вх/вых 3/4"рн)</t>
  </si>
  <si>
    <t>TWG BP-100. Байпас усиленный для блоков управления VR5D-100, VR5U-100 (вх/вых 1"рн)</t>
  </si>
  <si>
    <t>TWG VR3F-034T</t>
  </si>
  <si>
    <t>TWG VR3F-100T</t>
  </si>
  <si>
    <t>TWG VR5D-034V-05-06-07</t>
  </si>
  <si>
    <t>TWG VR5D-034V-08-09-10</t>
  </si>
  <si>
    <t>TWG VR5D-100V-05-06-07</t>
  </si>
  <si>
    <t>TWG VR5D-100V-08-09-10</t>
  </si>
  <si>
    <t>TWG VR5U-100T-10</t>
  </si>
  <si>
    <t>TWG VW5D-034V</t>
  </si>
  <si>
    <t>TWG VW5D-100V</t>
  </si>
  <si>
    <t>TWG VR3F-034T. Блок управления автоматический (3 цикла, по таймеру, основание 2,5", вх/вых 3/4"рн, Q&lt;1.5м3/ч при ∆P=1.0 бар, промывка &lt;2.2м3/ч)</t>
  </si>
  <si>
    <t>TWG VR3F-100T. Блок управления автоматический (3 цикла, по таймеру, основание 2,5", вх/вых 1"рв, Q&lt;3.0м3/ч при ∆P=1.0 бар, промывка &lt;5.0м3/ч)</t>
  </si>
  <si>
    <t>TWG VR5D-034V-05-06-07, Блок управления автоматический (5 циклов, по расходу, подача реагента сверху, основание 2,5", вх/вых 3/4"рн, Q&lt;1.9м3/ч при ∆P=1.0 бар, промывка &lt;0.9м3/ч, инжекторы 05, 06, 07)</t>
  </si>
  <si>
    <t>TWG VR5D-034V-08-09-10, Блок управления автоматический (5 циклов, по расходу, подача реагента сверху, основание 2,5", вх/вых 3/4"рн, Q&lt;1.9м3/ч при ∆P=1.0 бар, промывка &lt;0.9м3/ч, инжекторы 08, 09, 10)</t>
  </si>
  <si>
    <t>TWG VR5D-100V-05-06-07. Блок управления автоматический (5 циклов, по расходу, подача реагента сверху, основание 2,5", вх/вых 1"рн, Q&lt;2.7м3/ч при ∆P=1.0 бар, промывка &lt;1.6м3/ч, инжекторы 05, 06, 07)</t>
  </si>
  <si>
    <t>TWG VR5D-100V-08-09-10, Блок управления автоматический (5 циклов, по расходу, подача реагента сверху, основание 2,5", вх/вых 1"рн, Q&lt;2.7м3/ч при ∆P=1.0 бар, промывка &lt;1.6м3/ч, инжекторы 08, 09, 10)</t>
  </si>
  <si>
    <t>TWG VR5U-100T-10, Блок управления автоматический (5 циклов, по таймеру, подача реагента снизу, основание 2,5", вх/вых 1"рн, Q&lt;2.0м3/ч при ∆P=1.0 бар, промывка &lt;2.0м3/ч, инжектор 10)</t>
  </si>
  <si>
    <t>TWG VW5D-034V, Блок управления автоматический ПОРШНЕВОЙ (5 циклов, по расходу, подача реагента сверху, основание 2,5", вх/вых 3/4"рн, Q&lt;4.8м3/ч при ∆P=1.0 бар, промывка &lt;1.9м3/ч)</t>
  </si>
  <si>
    <t>TWG VW5D-100V, Блок управления автоматический ПОРШНЕВОЙ (5 циклов, по расходу, подача реагента сверху, основание 2,5", вх/вых 1"рн, Q&lt;4.8м3/ч при ∆P=1.0 бар, промывка &lt;1.9м3/ч)</t>
  </si>
  <si>
    <t>Eco 25.0 IER L</t>
  </si>
  <si>
    <t>FM AC 25L</t>
  </si>
  <si>
    <t>FM AC 25L 0,7-1,4</t>
  </si>
  <si>
    <t>FM MC 18.5L</t>
  </si>
  <si>
    <t>FM MC 18.5L 0,7-1,4</t>
  </si>
  <si>
    <t>FM AD 21L 0,7-1,5</t>
  </si>
  <si>
    <t>FM MFU 18.5L</t>
  </si>
  <si>
    <t>Засыпка для ОБЕЗЖЕЛЕЗ</t>
  </si>
  <si>
    <t>Уголь КОКОСОВЫЙ</t>
  </si>
  <si>
    <t>Eco 12.5 IER P</t>
  </si>
  <si>
    <t>Eco 12.5 IER PB</t>
  </si>
  <si>
    <t>Eco 12.5 IER PO</t>
  </si>
  <si>
    <t>Eco 12.5 IER POB</t>
  </si>
  <si>
    <t>Eco 12.5 IER POO</t>
  </si>
  <si>
    <t>Eco 12.5 IER POOB</t>
  </si>
  <si>
    <t>Eco 25.0 IER COD</t>
  </si>
  <si>
    <t>Eco 2.75 LAY-top</t>
  </si>
  <si>
    <t>Eco 2.75 LAY-btm</t>
  </si>
  <si>
    <t>Eco 19.0 LAY-top</t>
  </si>
  <si>
    <t>Eco 19.0 LAY-btm</t>
  </si>
  <si>
    <t>Eco 50.0 S-COD</t>
  </si>
  <si>
    <t>Уголь Антрацит фр0.8-2 мм</t>
  </si>
  <si>
    <t>Экобрайт УМЯГЧЕНИЕ. Фильтрующая загрузка (сильнокислотный КАТИОНИТ пищевой c ДВБ 8%  матрицей гелиевой структуры в Na+ форме) Ионообменная ёмкость составляет 2,1 г-экв/л (динамическая – 1,6 г-экв/л). Упаковка 25 литров</t>
  </si>
  <si>
    <t>"Сорбент АС" (фр. 0,3-0,7мм), мешок 25л / 14,8кг --- аналог Экобрайт СОРБЕНТ Железо. Сорбент АС является пассивной каталитической фильтрующей загрузкой для приоритетного удаления из воды железа и сероводорода.</t>
  </si>
  <si>
    <t>"Сорбент АС" (фр. 0,7-1,4мм), мешок 25л / 14,8кг --- аналог Экобрайт СОРБЕНТ Железо. Сорбент АС является пассивной каталитической фильтрующей загрузкой для приоритетного удаления из воды железа и сероводорода.</t>
  </si>
  <si>
    <t>"Сорбент МС" (фр. 0,3-0,7мм), мешок 18,5л / 25кг --- аналог Экобрайт СУПЕРСОРБЕНТ Марганец. Сорбент МС является пассивной каталитической фильтрующей загрузкой для приоритетного удаления из воды марганца и сероводорода.</t>
  </si>
  <si>
    <t>"Сорбент МС" (фр. 0,7-1,4мм), мешок 18,5л / 25кг --- аналог Экобрайт СУПЕРСОРБЕНТ Марганец. Сорбент МС является пассивной каталитической фильтрующей загрузкой для приоритетного удаления из воды марганца и сероводорода.</t>
  </si>
  <si>
    <t>FM AD 21L 0,7-1,5, Аква-дол, АКВАДОЛ (фр. 0,7-1,5 мм), мешок-21 л/25 кг, паллета 40 мешков (840 л)</t>
  </si>
  <si>
    <t>"Материал фильтрующий МФУ" ФРАКЦИЯ 0.3-0.7 мм, мешок 18,5л / 25кг --- аналог Экобрайт СУПЕРСОРБЕНТ Железо. Фильтрующий материал МФУ является пассивной каталитической фильтрующей загрузкой для усиленного удаления из воды железа и сероводорода.</t>
  </si>
  <si>
    <t>"Материал фильтрующий МФУ" ФРАКЦИЯ 0.7-1.4 мм, мешок 18,5л / 25кг --- аналог Экобрайт СУПЕРСОРБЕНТ Железо. Фильтрующий материал МФУ является пассивной каталитической фильтрующей загрузкой для усиленного удаления из воды железа и сероводорода.</t>
  </si>
  <si>
    <t>Уголь КОКОСОВЫЙ, Йодное ч 1050 мг/л, фракция 12*30 меш (1,7-0,5 мм), Паллета 750 кг (30 м по 25 кг)</t>
  </si>
  <si>
    <t>Eco 12.5 IER P, Экобрайт КОМПЛЕКС Стандарт. Фильтрующая загрузка (ведро 12,5 л) - удаляет Жо, Fe, Mn, H2S. Сбалансированная смесь импрегнированных (модифицированных) ионообменных смол для комплексной очистки воды от солей жёсткости (умягчение воды), железа (растворённого и окисленного), марганца растворённого, алюминия, радионуклидов, тяжёлых металлов, аммиака, сероводорода.</t>
  </si>
  <si>
    <t>Eco 12.5 IER PB. Экобрайт КОМПЛЕКС Стандарт Б. Фильтрующая загрузка (ведро 12,5 л.) - удаляет Жо, Fe, Mn, H2S, ОМЧ. Сбалансированная смесь импрегнированных (модифицированных) ионообменных смол, предназначенная для комплексной очистки воды от солей жёсткости (умягчение воды), железа (растворённого и окисленного), марганца растворённого, алюминия, радионуклидов, тяжёлых металлов, аммиака, сероводорода.</t>
  </si>
  <si>
    <t>Eco 12.5 IER PO. Экобрайт КОМПЛЕКС Органик. Фильтрующая загрузка (ведро 12,5 л) - удаляет Жо, Fe, Mn, H2S, ПМО&lt;8мгО2/л. Сбалансированная смесь импрегнированных (модифицированных) ионообменных смол, предназначенная для комплексной очистки воды от солей жёсткости (умягчение воды), железа (растворённого и окисленного), марганца растворённого, алюминия, радионуклидов, тяжёлых металлов, аммиака, сероводорода и органики (перманганатная окисляемость не более 8 мгО2/л).</t>
  </si>
  <si>
    <t>Eco 12.5 IER POB. Экобрайт КОМПЛЕКС Органик Б. Фильтрующая загрузка (ведро 12,5 л.) - удаляет Жо, Fe, Mn, H2S, ПМО&lt;8мгО2/л, ОМЧ</t>
  </si>
  <si>
    <t>Eco 12.5 IER POO. Экобрайт КОМПЛЕКС Органик плюс. Фильтрующая загрузка (ведро 12,5 л) - удаляет Жо, Fe, Mn, H2S, ПМО&lt;18мгО2/л</t>
  </si>
  <si>
    <t>Eco 12.5 IER POOB. Экобрайт КОМПЛЕКС Органик плюс Б. Фильтрующая загрузка (ведро 12,5 л) - удаляет Жо, Fe, Mn, H2S, ПМО&lt;18мгО2/л, ОМЧ</t>
  </si>
  <si>
    <t>Экобрайт ОРГАНИК. Фильтрующая загрузка (сильноосновной АНИОНИТ пищевого класса c акриловой матрицой макропористой структуры в Cl- форме) Мешок 25 Литров</t>
  </si>
  <si>
    <t>Eco 2.75 LAY-top, Экобрайт ПОДЛОЖКА верх (ведро 2,75 л) - песок кварцевый фр. 0,8-2,0мм</t>
  </si>
  <si>
    <t>Eco 2.75 LAY-btm, Экобрайт ПОДЛОЖКА низ (ведро 2,75 л) - песок кварцевый фр. 2,0-5,0мм</t>
  </si>
  <si>
    <t>Eco 19.0 LAY-top. Экобрайт ПОДЛОЖКА верх (мешок 19л / 25кг) - песок кварцевый фр. 1,4±0,6 мм (кварц жильный молочно-белый SiO2 ≥ 97,0%))</t>
  </si>
  <si>
    <t>Eco 19.0 LAY-btm. Экобрайт ПОДЛОЖКА низ (мешок 19л / 25кг) - песок кварцевый фр. 3,5±1,5 мм (кварц жильный молочно-белый SiO2 ≥ 97,0%)</t>
  </si>
  <si>
    <t>Экобрайт СОРБЕНТ Органик (мешок 50л, 20кг)  ФИСТАШКА</t>
  </si>
  <si>
    <t>Уголь Антрацит АКВАЛАТ, фр 0.8-2 мм (В БИГБЕГЕ)</t>
  </si>
  <si>
    <t>АБФ-ПРО-10ББ</t>
  </si>
  <si>
    <t>АБФ-ПРО-20ББ</t>
  </si>
  <si>
    <t>АБФ-ПРО-10ББ  Магистральный фильтр для  воды. Типоразмер корпуса  БИГ БЛЮ 10 дюймов. АБСОЛЮТНАЯ НАДЕЖНОСТЬ в системе ! Давление РАЗРУШЕНИЯ более 30 атм.  Подключение ЛАТУННАЯ  РЕЗЬБА  1 дюйм. Комплектация: Корпус фильтра, ПЛАСТИКОВЫЙ КРОНШТЕЙН с КАЛЕНДАРЕМ  и ключ.</t>
  </si>
  <si>
    <t>АБФ-ПРО-20ББ  Магистральный фильтр для  воды. Типоразмер корпуса  БИГ БЛЮ 20 дюймов. АБСОЛЮТНАЯ НАДЕЖНОСТЬ в системе ! Давление РАЗРУШЕНИЯ более 30 атм.  Подключение ЛАТУННАЯ  РЕЗЬБА  1 дюйм. Комплектация: Корпус фильтра, ПЛАСТИКОВЫЙ КРОНШТЕЙН с КАЛЕНДАРЕМ  и ключ.</t>
  </si>
  <si>
    <t>TWG DF-034</t>
  </si>
  <si>
    <t>TWG DF-200</t>
  </si>
  <si>
    <t>TWG DF-DISK-130</t>
  </si>
  <si>
    <t>TWG DF-WR-150</t>
  </si>
  <si>
    <t>TWG DF-034, Фильтр дисковый, площадь фильтрации 300 см²,производительность до 10 м³/час, рабочее давление до 6 атм, вход/выход резьба наружная 3/4 дюйма, дренаж резьба наружная 1/2 дюйма, фильтрация 130 мкм, виброустойчивый манометр.</t>
  </si>
  <si>
    <t>TWG DF-100, Фильтр дисковый, площадь фильтрации 300 см²,производительность до 10 м³/час, рабочее давление до 6 атм, вход/выход резьба наружная 1 дюйм, дренаж резьба наружная 1/2 дюйма, фильтрация 130 мкм, виброустойчивый манометр.</t>
  </si>
  <si>
    <t>TWG DF-200, Фильтр дисковый, площадь фильтрации 1492 см²,производительность до 30 м³/час, рабочее давление до 6 атм, вход/выход резьба наружная 2 дюйма, дренаж резьба наружная 3/4 дюйма, фильтрация 130 мкм, виброустойчивый манометр.</t>
  </si>
  <si>
    <t>TWG DF-DISK-130, Картридж 130 мкм для дисковых фильтров TWG DF-034, TWG DF-100. Картридж предназначен исключительно для частного использования в целях предварительной очистки воды от крупных механических загрязнений размером более 130 мкм и представляет из себя полностью разборный цилиндрический пакет специальных дисков.</t>
  </si>
  <si>
    <t>TWG DF-WR-150, Ключ для дисковых фильтров TWG DF-034, TWG DF-100. Ключ предназначен для откручивания и закручивания корпусов дисковых фильтров TWG DF-034 и TWG DF-100.</t>
  </si>
  <si>
    <t>АБФ-ОСМО-5 ПРОМО</t>
  </si>
  <si>
    <t>OSMOS-5-P</t>
  </si>
  <si>
    <t>АБФ-ОСМО-5 ПРОМО  Система очистки воды ОБРАТНОГО ОСМОСА под кухонную мойку с отдельным краном. 5 ступеней очистки воды. Мембрана производства  VONTRON. Производительность до 280 литров в сутки. ПЛАСТИКОВЫЙ  накопительный  бак 12 литров.В комплекте КЕРАМИЧЕСКИЙ кран и комплект для подключения к водопроводу.</t>
  </si>
  <si>
    <t>АБФ-ОСМО-5, Мембрана производства  VONTRON. Система очистки воды ОБРАТНОГО ОСМОСА под кухонную мойку с отдельным краном. 5 ступеней очистки воды.Производительность до 280 литров в сутки. Металлопластиковый накопительный  бак 12 литров.В комплекте КЕРАМИЧЕСКИЙ кран и комплект для подключения к водопроводу.</t>
  </si>
  <si>
    <t>АБФ-ОСМО-6, с МИНЕРАЛИЗАТОРОМ. Мембрана производства  VONTRON. Система очистки воды ОБРАТНОГО ОСМОСА под кухонную мойку с отдельным краном . 6 ступеней очистки воды.Производительность до 280 литров в сутки. Металлопластиковый накопительный  бак 12 литров.В комплекте КЕРАМИЧЕСКИЙ кран и комплект для подключения к водопроводу.</t>
  </si>
  <si>
    <t xml:space="preserve">OSMOS-5 </t>
  </si>
  <si>
    <t>OSMOS-6</t>
  </si>
  <si>
    <t>ВП-20 М-10 ББ</t>
  </si>
  <si>
    <t>ПП-20 М-20 ББ</t>
  </si>
  <si>
    <t>VP20</t>
  </si>
  <si>
    <t>ПП-20 М-20 ББ, Полипропиленовый Картридж АКВАБРАЙТ для механической очистки воды. Пористость 20 микрон. Типоразмер 20BB. Изготовлен из вспененного полипропилена. Вес 740 грамм ± 20 грамм. Высота 508 мм. ± 1,5  Ø110  мм.  ± 1,5 м</t>
  </si>
  <si>
    <t>ВП-20М-20 ББ, Веревочный Картридж АКВАБРАЙТ для механической очистки воды. Пористость 20 мкм. Типоразмер Big Blue 20". Изготовлен из веревочного полипропилена.</t>
  </si>
  <si>
    <t>FRP1054.png</t>
  </si>
  <si>
    <t>FRP1252.png</t>
  </si>
  <si>
    <t>FRP1354.png</t>
  </si>
  <si>
    <t>SALT-70L.png</t>
  </si>
  <si>
    <t>TWG TOOL-250.png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</si>
</sst>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B63CE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1"/>
    <xf numFmtId="0" fontId="2" fillId="0" borderId="1"/>
  </cellStyleXfs>
  <cellXfs count="24">
    <xf numFmtId="0" fontId="0" fillId="0" borderId="0" xfId="0" applyBorder="1"/>
    <xf numFmtId="0" fontId="1" fillId="2" borderId="2" xfId="1" applyFont="1" applyFill="1" applyBorder="1" applyAlignment="1">
      <alignment horizontal="center" wrapText="1"/>
    </xf>
    <xf numFmtId="0" fontId="0" fillId="0" borderId="2" xfId="0" applyBorder="1"/>
    <xf numFmtId="0" fontId="0" fillId="3" borderId="2" xfId="0" applyFill="1" applyBorder="1" applyAlignment="1">
      <alignment vertical="top" wrapText="1"/>
    </xf>
    <xf numFmtId="0" fontId="3" fillId="3" borderId="2" xfId="1" applyNumberFormat="1" applyFont="1" applyFill="1" applyBorder="1" applyAlignment="1">
      <alignment wrapText="1"/>
    </xf>
    <xf numFmtId="0" fontId="0" fillId="3" borderId="2" xfId="1" applyFont="1" applyFill="1" applyBorder="1" applyAlignment="1">
      <alignment wrapText="1"/>
    </xf>
    <xf numFmtId="0" fontId="0" fillId="3" borderId="2" xfId="0" applyFill="1" applyBorder="1"/>
    <xf numFmtId="0" fontId="0" fillId="0" borderId="2" xfId="1" applyFont="1" applyBorder="1"/>
    <xf numFmtId="0" fontId="0" fillId="0" borderId="2" xfId="1" applyFont="1" applyBorder="1" applyAlignment="1">
      <alignment wrapText="1"/>
    </xf>
    <xf numFmtId="0" fontId="0" fillId="3" borderId="3" xfId="0" applyFill="1" applyBorder="1" applyAlignment="1">
      <alignment vertical="top" wrapText="1"/>
    </xf>
    <xf numFmtId="0" fontId="2" fillId="3" borderId="2" xfId="1" applyFill="1" applyBorder="1" applyAlignment="1">
      <alignment wrapText="1"/>
    </xf>
    <xf numFmtId="4" fontId="0" fillId="3" borderId="2" xfId="1" applyNumberFormat="1" applyFont="1" applyFill="1" applyBorder="1" applyAlignment="1">
      <alignment wrapText="1"/>
    </xf>
    <xf numFmtId="0" fontId="0" fillId="3" borderId="4" xfId="1" applyFont="1" applyFill="1" applyBorder="1" applyAlignment="1">
      <alignment wrapText="1"/>
    </xf>
    <xf numFmtId="0" fontId="0" fillId="3" borderId="5" xfId="1" applyFont="1" applyFill="1" applyBorder="1" applyAlignment="1">
      <alignment wrapText="1"/>
    </xf>
    <xf numFmtId="0" fontId="1" fillId="2" borderId="6" xfId="1" applyFont="1" applyFill="1" applyBorder="1" applyAlignment="1">
      <alignment horizontal="center" wrapText="1"/>
    </xf>
    <xf numFmtId="0" fontId="0" fillId="0" borderId="6" xfId="0" applyBorder="1"/>
    <xf numFmtId="0" fontId="0" fillId="3" borderId="3" xfId="1" applyFont="1" applyFill="1" applyBorder="1" applyAlignment="1">
      <alignment vertical="top" wrapText="1"/>
    </xf>
    <xf numFmtId="0" fontId="3" fillId="3" borderId="3" xfId="1" applyNumberFormat="1" applyFont="1" applyFill="1" applyBorder="1" applyAlignment="1">
      <alignment vertical="top" wrapText="1"/>
    </xf>
    <xf numFmtId="0" fontId="0" fillId="3" borderId="2" xfId="1" applyFont="1" applyFill="1" applyBorder="1" applyAlignment="1">
      <alignment vertical="top" wrapText="1"/>
    </xf>
    <xf numFmtId="0" fontId="3" fillId="3" borderId="2" xfId="1" applyNumberFormat="1" applyFont="1" applyFill="1" applyBorder="1" applyAlignment="1">
      <alignment vertical="top" wrapText="1"/>
    </xf>
    <xf numFmtId="0" fontId="3" fillId="3" borderId="7" xfId="1" applyNumberFormat="1" applyFont="1" applyFill="1" applyBorder="1" applyAlignment="1">
      <alignment vertical="top" wrapText="1"/>
    </xf>
    <xf numFmtId="0" fontId="0" fillId="3" borderId="5" xfId="0" applyFill="1" applyBorder="1" applyAlignment="1">
      <alignment vertical="top" wrapText="1"/>
    </xf>
    <xf numFmtId="0" fontId="3" fillId="3" borderId="5" xfId="1" applyNumberFormat="1" applyFont="1" applyFill="1" applyBorder="1" applyAlignment="1">
      <alignment wrapText="1"/>
    </xf>
    <xf numFmtId="0" fontId="2" fillId="3" borderId="5" xfId="1" applyFill="1" applyBorder="1" applyAlignment="1">
      <alignment wrapText="1"/>
    </xf>
  </cellXfs>
  <cellStyles count="2">
    <cellStyle name="Normal" xfId="1"/>
    <cellStyle name="Обычный" xfId="0" builtinId="0"/>
  </cellStyles>
  <dxfs count="1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rli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equipment_catalogTable" displayName="equipment_catalogTable" ref="A1:L70" headerRowDxfId="9" dataDxfId="18" totalsRowDxfId="8" dataCellStyle="Normal">
  <tableColumns count="12">
    <tableColumn id="1" name="code" dataDxfId="17"/>
    <tableColumn id="2" name="name" dataDxfId="16"/>
    <tableColumn id="3" name="stage" dataDxfId="15" dataCellStyle="Normal"/>
    <tableColumn id="4" name="category" dataDxfId="14" dataCellStyle="Normal"/>
    <tableColumn id="5" name="description" dataDxfId="13" dataCellStyle="Normal"/>
    <tableColumn id="6" name="price" dataDxfId="12" dataCellStyle="Normal"/>
    <tableColumn id="7" name="image" dataDxfId="11" dataCellStyle="Normal"/>
    <tableColumn id="8" name="base" dataDxfId="10" dataCellStyle="Normal"/>
    <tableColumn id="9" name="sort_order" dataDxfId="7" totalsRowDxfId="6" dataCellStyle="Normal"/>
    <tableColumn id="10" name="Розница" dataDxfId="5" totalsRowDxfId="4" dataCellStyle="Normal"/>
    <tableColumn id="11" name="Партнер" dataDxfId="3" totalsRowDxfId="2" dataCellStyle="Normal"/>
    <tableColumn id="12" name="Выгода" dataDxfId="1" totalsRowDxfId="0" dataCellStyle="Normal">
      <calculatedColumnFormula>J2-K2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0"/>
  <sheetViews>
    <sheetView tabSelected="1" topLeftCell="A10" zoomScale="115" zoomScaleNormal="115" workbookViewId="0">
      <selection activeCell="A14" sqref="A14"/>
    </sheetView>
  </sheetViews>
  <sheetFormatPr defaultRowHeight="14.25"/>
  <cols>
    <col min="1" max="1" width="17.5" style="7" customWidth="1"/>
    <col min="2" max="2" width="23" style="7" customWidth="1"/>
    <col min="3" max="3" width="5.125" style="7" customWidth="1"/>
    <col min="4" max="4" width="9.125" style="7" customWidth="1"/>
    <col min="5" max="5" width="55.75" style="8" customWidth="1"/>
    <col min="6" max="6" width="9.375" style="7" customWidth="1"/>
    <col min="7" max="7" width="14.125" style="7" customWidth="1"/>
    <col min="8" max="8" width="10" style="7" customWidth="1"/>
    <col min="9" max="9" width="8.625" style="7" customWidth="1"/>
    <col min="10" max="12" width="14" style="7" customWidth="1"/>
    <col min="13" max="16384" width="9" style="2"/>
  </cols>
  <sheetData>
    <row r="1" spans="1:63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4" t="s">
        <v>8</v>
      </c>
      <c r="J1" s="15" t="s">
        <v>9</v>
      </c>
      <c r="K1" s="15" t="s">
        <v>10</v>
      </c>
      <c r="L1" s="15" t="s">
        <v>11</v>
      </c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</row>
    <row r="2" spans="1:63" s="6" customFormat="1" ht="57">
      <c r="A2" s="3" t="s">
        <v>32</v>
      </c>
      <c r="B2" s="3" t="s">
        <v>32</v>
      </c>
      <c r="C2" s="4" t="s">
        <v>17</v>
      </c>
      <c r="D2" s="4" t="s">
        <v>18</v>
      </c>
      <c r="E2" s="5" t="s">
        <v>37</v>
      </c>
      <c r="F2" s="11">
        <f>J2</f>
        <v>4700</v>
      </c>
      <c r="G2" s="3" t="s">
        <v>146</v>
      </c>
      <c r="H2" s="5" t="b">
        <v>1</v>
      </c>
      <c r="I2" s="12">
        <v>10</v>
      </c>
      <c r="J2" s="12">
        <v>4700</v>
      </c>
      <c r="K2" s="12">
        <v>3055</v>
      </c>
      <c r="L2" s="12">
        <f t="shared" ref="L2:L4" si="0">J2-K2</f>
        <v>1645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</row>
    <row r="3" spans="1:63" s="6" customFormat="1" ht="57">
      <c r="A3" s="3" t="s">
        <v>33</v>
      </c>
      <c r="B3" s="3" t="s">
        <v>33</v>
      </c>
      <c r="C3" s="4" t="s">
        <v>17</v>
      </c>
      <c r="D3" s="4" t="s">
        <v>18</v>
      </c>
      <c r="E3" s="5" t="s">
        <v>38</v>
      </c>
      <c r="F3" s="11">
        <f t="shared" ref="F3:F65" si="1">J3</f>
        <v>6600</v>
      </c>
      <c r="G3" s="3" t="s">
        <v>147</v>
      </c>
      <c r="H3" s="5" t="b">
        <v>1</v>
      </c>
      <c r="I3" s="5">
        <v>20</v>
      </c>
      <c r="J3" s="5">
        <v>6600</v>
      </c>
      <c r="K3" s="5">
        <v>4290</v>
      </c>
      <c r="L3" s="5">
        <f t="shared" si="0"/>
        <v>2310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</row>
    <row r="4" spans="1:63" s="6" customFormat="1" ht="57">
      <c r="A4" s="3" t="s">
        <v>34</v>
      </c>
      <c r="B4" s="3" t="s">
        <v>34</v>
      </c>
      <c r="C4" s="4" t="s">
        <v>17</v>
      </c>
      <c r="D4" s="4" t="s">
        <v>18</v>
      </c>
      <c r="E4" s="5" t="s">
        <v>39</v>
      </c>
      <c r="F4" s="11">
        <f t="shared" si="1"/>
        <v>7500</v>
      </c>
      <c r="G4" s="3" t="s">
        <v>148</v>
      </c>
      <c r="H4" s="5" t="b">
        <v>1</v>
      </c>
      <c r="I4" s="5">
        <v>30</v>
      </c>
      <c r="J4" s="5">
        <v>7500</v>
      </c>
      <c r="K4" s="5">
        <v>4875</v>
      </c>
      <c r="L4" s="5">
        <f t="shared" si="0"/>
        <v>2625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</row>
    <row r="5" spans="1:63" s="6" customFormat="1" ht="42.75">
      <c r="A5" s="3" t="s">
        <v>30</v>
      </c>
      <c r="B5" s="3" t="s">
        <v>30</v>
      </c>
      <c r="C5" s="4" t="s">
        <v>19</v>
      </c>
      <c r="D5" s="4" t="s">
        <v>20</v>
      </c>
      <c r="E5" s="5" t="s">
        <v>35</v>
      </c>
      <c r="F5" s="11">
        <f t="shared" si="1"/>
        <v>3900</v>
      </c>
      <c r="G5" s="5"/>
      <c r="H5" s="5" t="b">
        <v>1</v>
      </c>
      <c r="I5" s="5">
        <v>40</v>
      </c>
      <c r="J5" s="5">
        <v>3900</v>
      </c>
      <c r="K5" s="5">
        <v>2535</v>
      </c>
      <c r="L5" s="5">
        <f t="shared" ref="L5:L55" si="2">J5-K5</f>
        <v>1365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</row>
    <row r="6" spans="1:63" s="6" customFormat="1" ht="42.75">
      <c r="A6" s="3" t="s">
        <v>31</v>
      </c>
      <c r="B6" s="3" t="s">
        <v>31</v>
      </c>
      <c r="C6" s="4" t="s">
        <v>19</v>
      </c>
      <c r="D6" s="4" t="s">
        <v>20</v>
      </c>
      <c r="E6" s="5" t="s">
        <v>36</v>
      </c>
      <c r="F6" s="11">
        <f t="shared" si="1"/>
        <v>0</v>
      </c>
      <c r="G6" s="5"/>
      <c r="H6" s="5" t="b">
        <v>1</v>
      </c>
      <c r="I6" s="5">
        <v>50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</row>
    <row r="7" spans="1:63" s="6" customFormat="1" ht="57">
      <c r="A7" s="3" t="s">
        <v>32</v>
      </c>
      <c r="B7" s="3" t="s">
        <v>32</v>
      </c>
      <c r="C7" s="4" t="s">
        <v>19</v>
      </c>
      <c r="D7" s="4" t="s">
        <v>20</v>
      </c>
      <c r="E7" s="5" t="s">
        <v>37</v>
      </c>
      <c r="F7" s="11">
        <f t="shared" si="1"/>
        <v>4700</v>
      </c>
      <c r="G7" s="3" t="s">
        <v>146</v>
      </c>
      <c r="H7" s="5" t="b">
        <v>1</v>
      </c>
      <c r="I7" s="5">
        <v>60</v>
      </c>
      <c r="J7" s="5">
        <v>4700</v>
      </c>
      <c r="K7" s="5">
        <v>3055</v>
      </c>
      <c r="L7" s="5">
        <f t="shared" si="2"/>
        <v>1645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</row>
    <row r="8" spans="1:63" s="6" customFormat="1" ht="57">
      <c r="A8" s="3" t="s">
        <v>33</v>
      </c>
      <c r="B8" s="3" t="s">
        <v>33</v>
      </c>
      <c r="C8" s="4" t="s">
        <v>19</v>
      </c>
      <c r="D8" s="4" t="s">
        <v>20</v>
      </c>
      <c r="E8" s="5" t="s">
        <v>38</v>
      </c>
      <c r="F8" s="11">
        <f t="shared" si="1"/>
        <v>6600</v>
      </c>
      <c r="G8" s="3" t="s">
        <v>147</v>
      </c>
      <c r="H8" s="5" t="b">
        <v>1</v>
      </c>
      <c r="I8" s="5">
        <v>70</v>
      </c>
      <c r="J8" s="5">
        <v>6600</v>
      </c>
      <c r="K8" s="5">
        <v>4290</v>
      </c>
      <c r="L8" s="5">
        <f t="shared" si="2"/>
        <v>2310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</row>
    <row r="9" spans="1:63" s="6" customFormat="1" ht="57">
      <c r="A9" s="3" t="s">
        <v>34</v>
      </c>
      <c r="B9" s="3" t="s">
        <v>34</v>
      </c>
      <c r="C9" s="4" t="s">
        <v>19</v>
      </c>
      <c r="D9" s="4" t="s">
        <v>20</v>
      </c>
      <c r="E9" s="5" t="s">
        <v>39</v>
      </c>
      <c r="F9" s="11">
        <f t="shared" si="1"/>
        <v>7500</v>
      </c>
      <c r="G9" s="3" t="s">
        <v>148</v>
      </c>
      <c r="H9" s="5" t="b">
        <v>1</v>
      </c>
      <c r="I9" s="13">
        <v>80</v>
      </c>
      <c r="J9" s="13">
        <v>7500</v>
      </c>
      <c r="K9" s="13">
        <v>4875</v>
      </c>
      <c r="L9" s="13">
        <f t="shared" si="2"/>
        <v>2625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</row>
    <row r="10" spans="1:63" s="6" customFormat="1" ht="28.5">
      <c r="A10" s="9" t="s">
        <v>40</v>
      </c>
      <c r="B10" s="3" t="s">
        <v>40</v>
      </c>
      <c r="C10" s="4"/>
      <c r="D10" s="4"/>
      <c r="E10" s="10" t="s">
        <v>41</v>
      </c>
      <c r="F10" s="5">
        <f t="shared" si="1"/>
        <v>500</v>
      </c>
      <c r="G10" s="5" t="s">
        <v>150</v>
      </c>
      <c r="H10" s="5" t="b">
        <v>1</v>
      </c>
      <c r="I10" s="5">
        <v>90</v>
      </c>
      <c r="J10" s="5">
        <v>500</v>
      </c>
      <c r="K10" s="5">
        <v>325</v>
      </c>
      <c r="L10" s="5">
        <f t="shared" si="2"/>
        <v>175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</row>
    <row r="11" spans="1:63" s="6" customFormat="1" ht="42.75">
      <c r="A11" s="9" t="s">
        <v>21</v>
      </c>
      <c r="B11" s="3" t="s">
        <v>21</v>
      </c>
      <c r="C11" s="4">
        <v>5</v>
      </c>
      <c r="D11" s="4" t="s">
        <v>22</v>
      </c>
      <c r="E11" s="10" t="s">
        <v>42</v>
      </c>
      <c r="F11" s="5">
        <f t="shared" si="1"/>
        <v>3400</v>
      </c>
      <c r="G11" s="5" t="s">
        <v>149</v>
      </c>
      <c r="H11" s="5" t="b">
        <v>1</v>
      </c>
      <c r="I11" s="5">
        <v>100</v>
      </c>
      <c r="J11" s="5">
        <v>3400</v>
      </c>
      <c r="K11" s="5">
        <v>2210</v>
      </c>
      <c r="L11" s="5">
        <f t="shared" si="2"/>
        <v>1190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</row>
    <row r="12" spans="1:63">
      <c r="A12" s="16"/>
      <c r="B12" s="18"/>
      <c r="C12" s="4"/>
      <c r="D12" s="4"/>
      <c r="E12" s="10"/>
      <c r="F12" s="5">
        <f t="shared" si="1"/>
        <v>0</v>
      </c>
      <c r="G12" s="5"/>
      <c r="H12" s="5"/>
      <c r="I12" s="5">
        <v>110</v>
      </c>
      <c r="J12" s="5"/>
      <c r="K12" s="5"/>
      <c r="L12" s="5">
        <f>J12-K12</f>
        <v>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</row>
    <row r="13" spans="1:63" ht="57">
      <c r="A13" s="9" t="s">
        <v>43</v>
      </c>
      <c r="B13" s="3" t="s">
        <v>43</v>
      </c>
      <c r="C13" s="4" t="s">
        <v>15</v>
      </c>
      <c r="D13" s="4" t="s">
        <v>16</v>
      </c>
      <c r="E13" s="10" t="s">
        <v>49</v>
      </c>
      <c r="F13" s="5">
        <f t="shared" si="1"/>
        <v>20500</v>
      </c>
      <c r="G13" s="5"/>
      <c r="H13" s="5" t="b">
        <v>1</v>
      </c>
      <c r="I13" s="5">
        <v>120</v>
      </c>
      <c r="J13" s="5">
        <v>20500</v>
      </c>
      <c r="K13" s="5">
        <v>9750</v>
      </c>
      <c r="L13" s="5">
        <f t="shared" si="2"/>
        <v>10750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</row>
    <row r="14" spans="1:63" ht="57">
      <c r="A14" s="9" t="s">
        <v>44</v>
      </c>
      <c r="B14" s="3" t="s">
        <v>44</v>
      </c>
      <c r="C14" s="4" t="s">
        <v>15</v>
      </c>
      <c r="D14" s="4" t="s">
        <v>16</v>
      </c>
      <c r="E14" s="10" t="s">
        <v>50</v>
      </c>
      <c r="F14" s="5">
        <f t="shared" si="1"/>
        <v>15000</v>
      </c>
      <c r="G14" s="5"/>
      <c r="H14" s="5" t="b">
        <v>1</v>
      </c>
      <c r="I14" s="5">
        <v>130</v>
      </c>
      <c r="J14" s="5">
        <v>15000</v>
      </c>
      <c r="K14" s="5">
        <v>9750</v>
      </c>
      <c r="L14" s="5">
        <f t="shared" si="2"/>
        <v>5250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</row>
    <row r="15" spans="1:63" ht="57">
      <c r="A15" s="9" t="s">
        <v>45</v>
      </c>
      <c r="B15" s="3" t="s">
        <v>45</v>
      </c>
      <c r="C15" s="4" t="s">
        <v>15</v>
      </c>
      <c r="D15" s="4" t="s">
        <v>16</v>
      </c>
      <c r="E15" s="10" t="s">
        <v>51</v>
      </c>
      <c r="F15" s="5">
        <f t="shared" si="1"/>
        <v>3500</v>
      </c>
      <c r="G15" s="5"/>
      <c r="H15" s="5" t="b">
        <v>1</v>
      </c>
      <c r="I15" s="5">
        <v>140</v>
      </c>
      <c r="J15" s="5">
        <v>3500</v>
      </c>
      <c r="K15" s="5">
        <v>2200</v>
      </c>
      <c r="L15" s="5">
        <f t="shared" si="2"/>
        <v>1300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</row>
    <row r="16" spans="1:63" ht="42.75">
      <c r="A16" s="9" t="s">
        <v>46</v>
      </c>
      <c r="B16" s="3" t="s">
        <v>46</v>
      </c>
      <c r="C16" s="4" t="s">
        <v>15</v>
      </c>
      <c r="D16" s="4" t="s">
        <v>16</v>
      </c>
      <c r="E16" s="10" t="s">
        <v>52</v>
      </c>
      <c r="F16" s="5">
        <f t="shared" si="1"/>
        <v>800</v>
      </c>
      <c r="G16" s="5"/>
      <c r="H16" s="5" t="b">
        <v>1</v>
      </c>
      <c r="I16" s="5">
        <v>150</v>
      </c>
      <c r="J16" s="5">
        <v>800</v>
      </c>
      <c r="K16" s="5">
        <v>520</v>
      </c>
      <c r="L16" s="5">
        <f t="shared" si="2"/>
        <v>280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</row>
    <row r="17" spans="1:63" ht="114">
      <c r="A17" s="9" t="s">
        <v>47</v>
      </c>
      <c r="B17" s="3" t="s">
        <v>47</v>
      </c>
      <c r="C17" s="4" t="s">
        <v>15</v>
      </c>
      <c r="D17" s="4" t="s">
        <v>16</v>
      </c>
      <c r="E17" s="10" t="s">
        <v>53</v>
      </c>
      <c r="F17" s="5">
        <f t="shared" si="1"/>
        <v>2900</v>
      </c>
      <c r="G17" s="5"/>
      <c r="H17" s="5" t="b">
        <v>1</v>
      </c>
      <c r="I17" s="5">
        <v>160</v>
      </c>
      <c r="J17" s="5">
        <v>2900</v>
      </c>
      <c r="K17" s="5">
        <v>1885</v>
      </c>
      <c r="L17" s="5">
        <f t="shared" si="2"/>
        <v>1015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</row>
    <row r="18" spans="1:63" ht="28.5">
      <c r="A18" s="9" t="s">
        <v>48</v>
      </c>
      <c r="B18" s="3" t="s">
        <v>48</v>
      </c>
      <c r="C18" s="4" t="s">
        <v>15</v>
      </c>
      <c r="D18" s="4" t="s">
        <v>16</v>
      </c>
      <c r="E18" s="10" t="s">
        <v>54</v>
      </c>
      <c r="F18" s="5">
        <f t="shared" si="1"/>
        <v>2000</v>
      </c>
      <c r="G18" s="5"/>
      <c r="H18" s="5" t="b">
        <v>1</v>
      </c>
      <c r="I18" s="5">
        <v>180</v>
      </c>
      <c r="J18" s="5">
        <v>2000</v>
      </c>
      <c r="K18" s="5">
        <v>1300</v>
      </c>
      <c r="L18" s="5">
        <f t="shared" si="2"/>
        <v>700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</row>
    <row r="19" spans="1:63" ht="28.5">
      <c r="A19" s="9" t="s">
        <v>55</v>
      </c>
      <c r="B19" s="3" t="s">
        <v>55</v>
      </c>
      <c r="C19" s="4" t="s">
        <v>19</v>
      </c>
      <c r="D19" s="4" t="s">
        <v>20</v>
      </c>
      <c r="E19" s="10" t="s">
        <v>57</v>
      </c>
      <c r="F19" s="5">
        <f t="shared" si="1"/>
        <v>1500</v>
      </c>
      <c r="G19" s="5"/>
      <c r="H19" s="5" t="b">
        <v>1</v>
      </c>
      <c r="I19" s="5">
        <v>190</v>
      </c>
      <c r="J19" s="5">
        <v>1500</v>
      </c>
      <c r="K19" s="5">
        <v>975</v>
      </c>
      <c r="L19" s="5">
        <f t="shared" si="2"/>
        <v>525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</row>
    <row r="20" spans="1:63" ht="28.5">
      <c r="A20" s="9" t="s">
        <v>56</v>
      </c>
      <c r="B20" s="3" t="s">
        <v>56</v>
      </c>
      <c r="C20" s="4" t="s">
        <v>19</v>
      </c>
      <c r="D20" s="4" t="s">
        <v>20</v>
      </c>
      <c r="E20" s="10" t="s">
        <v>58</v>
      </c>
      <c r="F20" s="5">
        <f t="shared" si="1"/>
        <v>2100</v>
      </c>
      <c r="G20" s="5"/>
      <c r="H20" s="5" t="b">
        <v>1</v>
      </c>
      <c r="I20" s="5">
        <v>200</v>
      </c>
      <c r="J20" s="5">
        <v>2100</v>
      </c>
      <c r="K20" s="5">
        <v>1365</v>
      </c>
      <c r="L20" s="5">
        <f t="shared" si="2"/>
        <v>735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</row>
    <row r="21" spans="1:63" ht="28.5">
      <c r="A21" s="9" t="s">
        <v>55</v>
      </c>
      <c r="B21" s="3" t="s">
        <v>55</v>
      </c>
      <c r="C21" s="4" t="s">
        <v>17</v>
      </c>
      <c r="D21" s="4" t="s">
        <v>18</v>
      </c>
      <c r="E21" s="10" t="s">
        <v>57</v>
      </c>
      <c r="F21" s="5">
        <f t="shared" si="1"/>
        <v>1500</v>
      </c>
      <c r="G21" s="5"/>
      <c r="H21" s="5" t="b">
        <v>1</v>
      </c>
      <c r="I21" s="5">
        <v>210</v>
      </c>
      <c r="J21" s="5">
        <v>1500</v>
      </c>
      <c r="K21" s="5">
        <v>975</v>
      </c>
      <c r="L21" s="5">
        <f t="shared" si="2"/>
        <v>525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</row>
    <row r="22" spans="1:63" ht="28.5">
      <c r="A22" s="9" t="s">
        <v>56</v>
      </c>
      <c r="B22" s="3" t="s">
        <v>56</v>
      </c>
      <c r="C22" s="4" t="s">
        <v>17</v>
      </c>
      <c r="D22" s="4" t="s">
        <v>18</v>
      </c>
      <c r="E22" s="10" t="s">
        <v>58</v>
      </c>
      <c r="F22" s="5">
        <f t="shared" si="1"/>
        <v>2100</v>
      </c>
      <c r="G22" s="5"/>
      <c r="H22" s="5" t="b">
        <v>1</v>
      </c>
      <c r="I22" s="5">
        <v>220</v>
      </c>
      <c r="J22" s="5">
        <v>2100</v>
      </c>
      <c r="K22" s="5">
        <v>1365</v>
      </c>
      <c r="L22" s="5">
        <f t="shared" si="2"/>
        <v>735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</row>
    <row r="23" spans="1:63" ht="42.75">
      <c r="A23" s="9" t="s">
        <v>59</v>
      </c>
      <c r="B23" s="3" t="s">
        <v>59</v>
      </c>
      <c r="C23" s="4" t="s">
        <v>17</v>
      </c>
      <c r="D23" s="4" t="s">
        <v>18</v>
      </c>
      <c r="E23" s="10" t="s">
        <v>68</v>
      </c>
      <c r="F23" s="5">
        <f t="shared" si="1"/>
        <v>4700</v>
      </c>
      <c r="G23" s="5"/>
      <c r="H23" s="5" t="b">
        <v>1</v>
      </c>
      <c r="I23" s="5">
        <v>230</v>
      </c>
      <c r="J23" s="5">
        <v>4700</v>
      </c>
      <c r="K23" s="5">
        <v>3055</v>
      </c>
      <c r="L23" s="5">
        <f t="shared" si="2"/>
        <v>1645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</row>
    <row r="24" spans="1:63" ht="42.75">
      <c r="A24" s="9" t="s">
        <v>60</v>
      </c>
      <c r="B24" s="3" t="s">
        <v>60</v>
      </c>
      <c r="C24" s="4" t="s">
        <v>17</v>
      </c>
      <c r="D24" s="4" t="s">
        <v>18</v>
      </c>
      <c r="E24" s="10" t="s">
        <v>69</v>
      </c>
      <c r="F24" s="5">
        <f t="shared" si="1"/>
        <v>6000</v>
      </c>
      <c r="G24" s="5"/>
      <c r="H24" s="5" t="b">
        <v>1</v>
      </c>
      <c r="I24" s="5">
        <v>240</v>
      </c>
      <c r="J24" s="5">
        <v>6000</v>
      </c>
      <c r="K24" s="5">
        <v>3900</v>
      </c>
      <c r="L24" s="5">
        <f t="shared" si="2"/>
        <v>2100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</row>
    <row r="25" spans="1:63" ht="57">
      <c r="A25" s="9" t="s">
        <v>61</v>
      </c>
      <c r="B25" s="3" t="s">
        <v>61</v>
      </c>
      <c r="C25" s="4" t="s">
        <v>19</v>
      </c>
      <c r="D25" s="4" t="s">
        <v>20</v>
      </c>
      <c r="E25" s="10" t="s">
        <v>70</v>
      </c>
      <c r="F25" s="5">
        <f t="shared" si="1"/>
        <v>6100</v>
      </c>
      <c r="G25" s="5"/>
      <c r="H25" s="5" t="b">
        <v>1</v>
      </c>
      <c r="I25" s="5">
        <v>250</v>
      </c>
      <c r="J25" s="5">
        <v>6100</v>
      </c>
      <c r="K25" s="5">
        <v>3965</v>
      </c>
      <c r="L25" s="5">
        <f t="shared" si="2"/>
        <v>2135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</row>
    <row r="26" spans="1:63" ht="57">
      <c r="A26" s="9" t="s">
        <v>62</v>
      </c>
      <c r="B26" s="3" t="s">
        <v>62</v>
      </c>
      <c r="C26" s="4" t="s">
        <v>19</v>
      </c>
      <c r="D26" s="4" t="s">
        <v>20</v>
      </c>
      <c r="E26" s="10" t="s">
        <v>71</v>
      </c>
      <c r="F26" s="5">
        <f t="shared" si="1"/>
        <v>6100</v>
      </c>
      <c r="G26" s="5"/>
      <c r="H26" s="5" t="b">
        <v>1</v>
      </c>
      <c r="I26" s="5">
        <v>260</v>
      </c>
      <c r="J26" s="5">
        <v>6100</v>
      </c>
      <c r="K26" s="5">
        <v>3965</v>
      </c>
      <c r="L26" s="5">
        <f t="shared" si="2"/>
        <v>2135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</row>
    <row r="27" spans="1:63" ht="57">
      <c r="A27" s="9" t="s">
        <v>63</v>
      </c>
      <c r="B27" s="3" t="s">
        <v>63</v>
      </c>
      <c r="C27" s="4" t="s">
        <v>19</v>
      </c>
      <c r="D27" s="4" t="s">
        <v>20</v>
      </c>
      <c r="E27" s="10" t="s">
        <v>72</v>
      </c>
      <c r="F27" s="5">
        <f t="shared" si="1"/>
        <v>7300</v>
      </c>
      <c r="G27" s="5"/>
      <c r="H27" s="5" t="b">
        <v>1</v>
      </c>
      <c r="I27" s="5">
        <v>270</v>
      </c>
      <c r="J27" s="5">
        <v>7300</v>
      </c>
      <c r="K27" s="5">
        <v>4745</v>
      </c>
      <c r="L27" s="5">
        <f t="shared" si="2"/>
        <v>2555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</row>
    <row r="28" spans="1:63" ht="57">
      <c r="A28" s="9" t="s">
        <v>64</v>
      </c>
      <c r="B28" s="3" t="s">
        <v>64</v>
      </c>
      <c r="C28" s="4" t="s">
        <v>19</v>
      </c>
      <c r="D28" s="4" t="s">
        <v>20</v>
      </c>
      <c r="E28" s="10" t="s">
        <v>73</v>
      </c>
      <c r="F28" s="5">
        <f t="shared" si="1"/>
        <v>7300</v>
      </c>
      <c r="G28" s="5"/>
      <c r="H28" s="5" t="b">
        <v>1</v>
      </c>
      <c r="I28" s="5">
        <v>280</v>
      </c>
      <c r="J28" s="5">
        <v>7300</v>
      </c>
      <c r="K28" s="5">
        <v>4745</v>
      </c>
      <c r="L28" s="5">
        <f t="shared" si="2"/>
        <v>2555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</row>
    <row r="29" spans="1:63" ht="57">
      <c r="A29" s="9" t="s">
        <v>65</v>
      </c>
      <c r="B29" s="3" t="s">
        <v>65</v>
      </c>
      <c r="C29" s="4" t="s">
        <v>17</v>
      </c>
      <c r="D29" s="4" t="s">
        <v>18</v>
      </c>
      <c r="E29" s="10" t="s">
        <v>74</v>
      </c>
      <c r="F29" s="5">
        <f t="shared" si="1"/>
        <v>6100</v>
      </c>
      <c r="G29" s="5"/>
      <c r="H29" s="5" t="b">
        <v>1</v>
      </c>
      <c r="I29" s="5">
        <v>290</v>
      </c>
      <c r="J29" s="5">
        <v>6100</v>
      </c>
      <c r="K29" s="5">
        <v>3965</v>
      </c>
      <c r="L29" s="5">
        <f t="shared" si="2"/>
        <v>2135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</row>
    <row r="30" spans="1:63" ht="57">
      <c r="A30" s="9" t="s">
        <v>66</v>
      </c>
      <c r="B30" s="3" t="s">
        <v>66</v>
      </c>
      <c r="C30" s="4"/>
      <c r="D30" s="4"/>
      <c r="E30" s="10" t="s">
        <v>75</v>
      </c>
      <c r="F30" s="5">
        <f t="shared" si="1"/>
        <v>0</v>
      </c>
      <c r="G30" s="5"/>
      <c r="H30" s="5" t="b">
        <v>1</v>
      </c>
      <c r="I30" s="5">
        <v>300</v>
      </c>
      <c r="J30" s="5"/>
      <c r="K30" s="5"/>
      <c r="L30" s="5">
        <f t="shared" si="2"/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</row>
    <row r="31" spans="1:63" ht="57">
      <c r="A31" s="9" t="s">
        <v>67</v>
      </c>
      <c r="B31" s="3" t="s">
        <v>67</v>
      </c>
      <c r="C31" s="4"/>
      <c r="D31" s="4"/>
      <c r="E31" s="10" t="s">
        <v>76</v>
      </c>
      <c r="F31" s="5">
        <f t="shared" si="1"/>
        <v>0</v>
      </c>
      <c r="G31" s="5"/>
      <c r="H31" s="5" t="b">
        <v>1</v>
      </c>
      <c r="I31" s="5">
        <v>310</v>
      </c>
      <c r="J31" s="5"/>
      <c r="K31" s="5"/>
      <c r="L31" s="5">
        <f t="shared" si="2"/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</row>
    <row r="32" spans="1:63" ht="71.25">
      <c r="A32" s="9" t="s">
        <v>77</v>
      </c>
      <c r="B32" s="3" t="s">
        <v>77</v>
      </c>
      <c r="C32" s="4" t="s">
        <v>19</v>
      </c>
      <c r="D32" s="4" t="s">
        <v>20</v>
      </c>
      <c r="E32" s="10" t="s">
        <v>99</v>
      </c>
      <c r="F32" s="5">
        <f t="shared" si="1"/>
        <v>4700</v>
      </c>
      <c r="G32" s="5"/>
      <c r="H32" s="5" t="b">
        <v>1</v>
      </c>
      <c r="I32" s="5">
        <v>320</v>
      </c>
      <c r="J32" s="5">
        <v>4700</v>
      </c>
      <c r="K32" s="5">
        <v>3055</v>
      </c>
      <c r="L32" s="5">
        <f t="shared" si="2"/>
        <v>1645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</row>
    <row r="33" spans="1:63" ht="57">
      <c r="A33" s="9" t="s">
        <v>78</v>
      </c>
      <c r="B33" s="3" t="s">
        <v>78</v>
      </c>
      <c r="C33" s="4" t="s">
        <v>17</v>
      </c>
      <c r="D33" s="4" t="s">
        <v>18</v>
      </c>
      <c r="E33" s="10" t="s">
        <v>100</v>
      </c>
      <c r="F33" s="5">
        <f t="shared" si="1"/>
        <v>1400</v>
      </c>
      <c r="G33" s="5"/>
      <c r="H33" s="5" t="b">
        <v>1</v>
      </c>
      <c r="I33" s="5">
        <v>330</v>
      </c>
      <c r="J33" s="5">
        <v>1400</v>
      </c>
      <c r="K33" s="5">
        <v>910</v>
      </c>
      <c r="L33" s="5">
        <f t="shared" si="2"/>
        <v>490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</row>
    <row r="34" spans="1:63" ht="57">
      <c r="A34" s="9" t="s">
        <v>79</v>
      </c>
      <c r="B34" s="3" t="s">
        <v>79</v>
      </c>
      <c r="C34" s="4" t="s">
        <v>17</v>
      </c>
      <c r="D34" s="4" t="s">
        <v>18</v>
      </c>
      <c r="E34" s="10" t="s">
        <v>101</v>
      </c>
      <c r="F34" s="5">
        <f t="shared" si="1"/>
        <v>1400</v>
      </c>
      <c r="G34" s="5"/>
      <c r="H34" s="5" t="b">
        <v>1</v>
      </c>
      <c r="I34" s="5">
        <v>340</v>
      </c>
      <c r="J34" s="5">
        <v>1400</v>
      </c>
      <c r="K34" s="5">
        <v>910</v>
      </c>
      <c r="L34" s="5">
        <f t="shared" si="2"/>
        <v>490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</row>
    <row r="35" spans="1:63" ht="57">
      <c r="A35" s="9" t="s">
        <v>80</v>
      </c>
      <c r="B35" s="3" t="s">
        <v>80</v>
      </c>
      <c r="C35" s="4" t="s">
        <v>17</v>
      </c>
      <c r="D35" s="4" t="s">
        <v>18</v>
      </c>
      <c r="E35" s="10" t="s">
        <v>102</v>
      </c>
      <c r="F35" s="5">
        <f t="shared" si="1"/>
        <v>2100</v>
      </c>
      <c r="G35" s="5"/>
      <c r="H35" s="5" t="b">
        <v>1</v>
      </c>
      <c r="I35" s="5">
        <v>350</v>
      </c>
      <c r="J35" s="5">
        <v>2100</v>
      </c>
      <c r="K35" s="5">
        <v>1365</v>
      </c>
      <c r="L35" s="5">
        <f t="shared" si="2"/>
        <v>735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</row>
    <row r="36" spans="1:63" ht="57">
      <c r="A36" s="9" t="s">
        <v>81</v>
      </c>
      <c r="B36" s="3" t="s">
        <v>81</v>
      </c>
      <c r="C36" s="4" t="s">
        <v>17</v>
      </c>
      <c r="D36" s="4" t="s">
        <v>18</v>
      </c>
      <c r="E36" s="10" t="s">
        <v>103</v>
      </c>
      <c r="F36" s="5">
        <f t="shared" si="1"/>
        <v>2100</v>
      </c>
      <c r="G36" s="5"/>
      <c r="H36" s="5" t="b">
        <v>1</v>
      </c>
      <c r="I36" s="5">
        <v>360</v>
      </c>
      <c r="J36" s="5">
        <v>2100</v>
      </c>
      <c r="K36" s="5">
        <v>1365</v>
      </c>
      <c r="L36" s="5">
        <f t="shared" si="2"/>
        <v>735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</row>
    <row r="37" spans="1:63" ht="28.5">
      <c r="A37" s="9" t="s">
        <v>82</v>
      </c>
      <c r="B37" s="3" t="s">
        <v>82</v>
      </c>
      <c r="C37" s="4" t="s">
        <v>17</v>
      </c>
      <c r="D37" s="4" t="s">
        <v>18</v>
      </c>
      <c r="E37" s="10" t="s">
        <v>104</v>
      </c>
      <c r="F37" s="5">
        <f t="shared" si="1"/>
        <v>3500</v>
      </c>
      <c r="G37" s="5"/>
      <c r="H37" s="5" t="b">
        <v>1</v>
      </c>
      <c r="I37" s="5">
        <v>370</v>
      </c>
      <c r="J37" s="5">
        <v>3500</v>
      </c>
      <c r="K37" s="5">
        <v>2275</v>
      </c>
      <c r="L37" s="5">
        <f t="shared" si="2"/>
        <v>1225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</row>
    <row r="38" spans="1:63" ht="71.25">
      <c r="A38" s="9" t="s">
        <v>83</v>
      </c>
      <c r="B38" s="3" t="s">
        <v>83</v>
      </c>
      <c r="C38" s="4" t="s">
        <v>17</v>
      </c>
      <c r="D38" s="4" t="s">
        <v>18</v>
      </c>
      <c r="E38" s="10" t="s">
        <v>105</v>
      </c>
      <c r="F38" s="5">
        <f t="shared" si="1"/>
        <v>1100</v>
      </c>
      <c r="G38" s="5"/>
      <c r="H38" s="5" t="b">
        <v>1</v>
      </c>
      <c r="I38" s="5">
        <v>380</v>
      </c>
      <c r="J38" s="5">
        <v>1100</v>
      </c>
      <c r="K38" s="5">
        <v>715</v>
      </c>
      <c r="L38" s="5">
        <f t="shared" si="2"/>
        <v>385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</row>
    <row r="39" spans="1:63" ht="71.25">
      <c r="A39" s="9" t="s">
        <v>84</v>
      </c>
      <c r="B39" s="3" t="s">
        <v>84</v>
      </c>
      <c r="C39" s="4" t="s">
        <v>17</v>
      </c>
      <c r="D39" s="4" t="s">
        <v>18</v>
      </c>
      <c r="E39" s="10" t="s">
        <v>106</v>
      </c>
      <c r="F39" s="5">
        <f t="shared" si="1"/>
        <v>1100</v>
      </c>
      <c r="G39" s="5"/>
      <c r="H39" s="5" t="b">
        <v>1</v>
      </c>
      <c r="I39" s="5">
        <v>390</v>
      </c>
      <c r="J39" s="5">
        <v>1100</v>
      </c>
      <c r="K39" s="5">
        <v>715</v>
      </c>
      <c r="L39" s="5">
        <f t="shared" si="2"/>
        <v>385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</row>
    <row r="40" spans="1:63" ht="28.5">
      <c r="A40" s="9" t="s">
        <v>85</v>
      </c>
      <c r="B40" s="3" t="s">
        <v>85</v>
      </c>
      <c r="C40" s="4"/>
      <c r="D40" s="4"/>
      <c r="E40" s="10" t="s">
        <v>107</v>
      </c>
      <c r="F40" s="5">
        <f t="shared" si="1"/>
        <v>550</v>
      </c>
      <c r="G40" s="5"/>
      <c r="H40" s="5" t="b">
        <v>1</v>
      </c>
      <c r="I40" s="5">
        <v>400</v>
      </c>
      <c r="J40" s="5">
        <v>550</v>
      </c>
      <c r="K40" s="5">
        <v>340</v>
      </c>
      <c r="L40" s="5">
        <f t="shared" si="2"/>
        <v>210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</row>
    <row r="41" spans="1:63" ht="114">
      <c r="A41" s="9" t="s">
        <v>86</v>
      </c>
      <c r="B41" s="3" t="s">
        <v>86</v>
      </c>
      <c r="C41" s="4" t="s">
        <v>19</v>
      </c>
      <c r="D41" s="4" t="s">
        <v>20</v>
      </c>
      <c r="E41" s="10" t="s">
        <v>108</v>
      </c>
      <c r="F41" s="5">
        <f t="shared" si="1"/>
        <v>7000</v>
      </c>
      <c r="G41" s="5"/>
      <c r="H41" s="5" t="b">
        <v>1</v>
      </c>
      <c r="I41" s="5">
        <v>410</v>
      </c>
      <c r="J41" s="5">
        <v>7000</v>
      </c>
      <c r="K41" s="5">
        <v>4550</v>
      </c>
      <c r="L41" s="5">
        <f t="shared" si="2"/>
        <v>2450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</row>
    <row r="42" spans="1:63" ht="114">
      <c r="A42" s="9" t="s">
        <v>87</v>
      </c>
      <c r="B42" s="3" t="s">
        <v>87</v>
      </c>
      <c r="C42" s="4" t="s">
        <v>19</v>
      </c>
      <c r="D42" s="4" t="s">
        <v>20</v>
      </c>
      <c r="E42" s="10" t="s">
        <v>109</v>
      </c>
      <c r="F42" s="5">
        <f t="shared" si="1"/>
        <v>7500</v>
      </c>
      <c r="G42" s="5"/>
      <c r="H42" s="5" t="b">
        <v>1</v>
      </c>
      <c r="I42" s="5">
        <v>420</v>
      </c>
      <c r="J42" s="5">
        <v>7500</v>
      </c>
      <c r="K42" s="5">
        <v>4875</v>
      </c>
      <c r="L42" s="5">
        <f t="shared" si="2"/>
        <v>2625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</row>
    <row r="43" spans="1:63" ht="128.25">
      <c r="A43" s="9" t="s">
        <v>88</v>
      </c>
      <c r="B43" s="3" t="s">
        <v>88</v>
      </c>
      <c r="C43" s="4" t="s">
        <v>19</v>
      </c>
      <c r="D43" s="4" t="s">
        <v>20</v>
      </c>
      <c r="E43" s="10" t="s">
        <v>110</v>
      </c>
      <c r="F43" s="5">
        <f t="shared" si="1"/>
        <v>8000</v>
      </c>
      <c r="G43" s="5"/>
      <c r="H43" s="5" t="b">
        <v>1</v>
      </c>
      <c r="I43" s="5">
        <v>430</v>
      </c>
      <c r="J43" s="5">
        <v>8000</v>
      </c>
      <c r="K43" s="5">
        <v>5200</v>
      </c>
      <c r="L43" s="5">
        <f t="shared" si="2"/>
        <v>2800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</row>
    <row r="44" spans="1:63" ht="42.75">
      <c r="A44" s="9" t="s">
        <v>89</v>
      </c>
      <c r="B44" s="3" t="s">
        <v>89</v>
      </c>
      <c r="C44" s="4" t="s">
        <v>19</v>
      </c>
      <c r="D44" s="4" t="s">
        <v>20</v>
      </c>
      <c r="E44" s="10" t="s">
        <v>111</v>
      </c>
      <c r="F44" s="5">
        <f t="shared" si="1"/>
        <v>8500</v>
      </c>
      <c r="G44" s="5"/>
      <c r="H44" s="5" t="b">
        <v>1</v>
      </c>
      <c r="I44" s="5">
        <v>440</v>
      </c>
      <c r="J44" s="5">
        <v>8500</v>
      </c>
      <c r="K44" s="5">
        <v>5525</v>
      </c>
      <c r="L44" s="5">
        <f t="shared" si="2"/>
        <v>2975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</row>
    <row r="45" spans="1:63" ht="42.75">
      <c r="A45" s="9" t="s">
        <v>90</v>
      </c>
      <c r="B45" s="3" t="s">
        <v>90</v>
      </c>
      <c r="C45" s="4" t="s">
        <v>19</v>
      </c>
      <c r="D45" s="4" t="s">
        <v>20</v>
      </c>
      <c r="E45" s="10" t="s">
        <v>112</v>
      </c>
      <c r="F45" s="5">
        <f t="shared" si="1"/>
        <v>9000</v>
      </c>
      <c r="G45" s="5"/>
      <c r="H45" s="5" t="b">
        <v>1</v>
      </c>
      <c r="I45" s="5">
        <v>450</v>
      </c>
      <c r="J45" s="5">
        <v>9000</v>
      </c>
      <c r="K45" s="5">
        <v>5850</v>
      </c>
      <c r="L45" s="5">
        <f t="shared" si="2"/>
        <v>3150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</row>
    <row r="46" spans="1:63" ht="42.75">
      <c r="A46" s="9" t="s">
        <v>91</v>
      </c>
      <c r="B46" s="3" t="s">
        <v>91</v>
      </c>
      <c r="C46" s="4" t="s">
        <v>19</v>
      </c>
      <c r="D46" s="4" t="s">
        <v>20</v>
      </c>
      <c r="E46" s="10" t="s">
        <v>113</v>
      </c>
      <c r="F46" s="5">
        <f t="shared" si="1"/>
        <v>9500</v>
      </c>
      <c r="G46" s="5"/>
      <c r="H46" s="5" t="b">
        <v>1</v>
      </c>
      <c r="I46" s="5">
        <v>460</v>
      </c>
      <c r="J46" s="5">
        <v>9500</v>
      </c>
      <c r="K46" s="5">
        <v>6175</v>
      </c>
      <c r="L46" s="5">
        <f t="shared" si="2"/>
        <v>3325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</row>
    <row r="47" spans="1:63" ht="42.75">
      <c r="A47" s="9" t="s">
        <v>92</v>
      </c>
      <c r="B47" s="3" t="s">
        <v>92</v>
      </c>
      <c r="C47" s="4" t="s">
        <v>19</v>
      </c>
      <c r="D47" s="4" t="s">
        <v>20</v>
      </c>
      <c r="E47" s="10" t="s">
        <v>114</v>
      </c>
      <c r="F47" s="5">
        <f t="shared" si="1"/>
        <v>17500</v>
      </c>
      <c r="G47" s="5"/>
      <c r="H47" s="5" t="b">
        <v>1</v>
      </c>
      <c r="I47" s="5">
        <v>470</v>
      </c>
      <c r="J47" s="5">
        <v>17500</v>
      </c>
      <c r="K47" s="5">
        <v>11375</v>
      </c>
      <c r="L47" s="5">
        <f t="shared" si="2"/>
        <v>6125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</row>
    <row r="48" spans="1:63" ht="28.5">
      <c r="A48" s="9" t="s">
        <v>93</v>
      </c>
      <c r="B48" s="3" t="s">
        <v>93</v>
      </c>
      <c r="C48" s="4" t="s">
        <v>19</v>
      </c>
      <c r="D48" s="4" t="s">
        <v>20</v>
      </c>
      <c r="E48" s="10" t="s">
        <v>115</v>
      </c>
      <c r="F48" s="5">
        <f t="shared" si="1"/>
        <v>300</v>
      </c>
      <c r="G48" s="5"/>
      <c r="H48" s="5" t="b">
        <v>1</v>
      </c>
      <c r="I48" s="5">
        <v>480</v>
      </c>
      <c r="J48" s="5">
        <v>300</v>
      </c>
      <c r="K48" s="5">
        <v>195</v>
      </c>
      <c r="L48" s="5">
        <f t="shared" si="2"/>
        <v>105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</row>
    <row r="49" spans="1:63" ht="28.5">
      <c r="A49" s="9" t="s">
        <v>94</v>
      </c>
      <c r="B49" s="3" t="s">
        <v>94</v>
      </c>
      <c r="C49" s="4" t="s">
        <v>19</v>
      </c>
      <c r="D49" s="4" t="s">
        <v>20</v>
      </c>
      <c r="E49" s="10" t="s">
        <v>116</v>
      </c>
      <c r="F49" s="5">
        <f t="shared" si="1"/>
        <v>300</v>
      </c>
      <c r="G49" s="5"/>
      <c r="H49" s="5" t="b">
        <v>1</v>
      </c>
      <c r="I49" s="5">
        <v>490</v>
      </c>
      <c r="J49" s="5">
        <v>300</v>
      </c>
      <c r="K49" s="5">
        <v>195</v>
      </c>
      <c r="L49" s="5">
        <f t="shared" si="2"/>
        <v>105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</row>
    <row r="50" spans="1:63" ht="28.5">
      <c r="A50" s="9" t="s">
        <v>93</v>
      </c>
      <c r="B50" s="3" t="s">
        <v>93</v>
      </c>
      <c r="C50" s="4" t="s">
        <v>17</v>
      </c>
      <c r="D50" s="4" t="s">
        <v>18</v>
      </c>
      <c r="E50" s="10" t="s">
        <v>115</v>
      </c>
      <c r="F50" s="5">
        <f t="shared" si="1"/>
        <v>300</v>
      </c>
      <c r="G50" s="5"/>
      <c r="H50" s="5" t="b">
        <v>1</v>
      </c>
      <c r="I50" s="5">
        <v>500</v>
      </c>
      <c r="J50" s="5">
        <v>300</v>
      </c>
      <c r="K50" s="5">
        <v>195</v>
      </c>
      <c r="L50" s="5">
        <f t="shared" si="2"/>
        <v>105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</row>
    <row r="51" spans="1:63" ht="28.5">
      <c r="A51" s="9" t="s">
        <v>94</v>
      </c>
      <c r="B51" s="3" t="s">
        <v>94</v>
      </c>
      <c r="C51" s="4" t="s">
        <v>17</v>
      </c>
      <c r="D51" s="4" t="s">
        <v>18</v>
      </c>
      <c r="E51" s="10" t="s">
        <v>116</v>
      </c>
      <c r="F51" s="5">
        <f t="shared" si="1"/>
        <v>300</v>
      </c>
      <c r="G51" s="5"/>
      <c r="H51" s="5" t="b">
        <v>1</v>
      </c>
      <c r="I51" s="5">
        <v>510</v>
      </c>
      <c r="J51" s="5">
        <v>300</v>
      </c>
      <c r="K51" s="5">
        <v>195</v>
      </c>
      <c r="L51" s="5">
        <f t="shared" si="2"/>
        <v>105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</row>
    <row r="52" spans="1:63" ht="42.75">
      <c r="A52" s="9" t="s">
        <v>95</v>
      </c>
      <c r="B52" s="3" t="s">
        <v>95</v>
      </c>
      <c r="C52" s="4"/>
      <c r="D52" s="4"/>
      <c r="E52" s="10" t="s">
        <v>117</v>
      </c>
      <c r="F52" s="5">
        <f t="shared" si="1"/>
        <v>800</v>
      </c>
      <c r="G52" s="5"/>
      <c r="H52" s="5" t="b">
        <v>1</v>
      </c>
      <c r="I52" s="5">
        <v>520</v>
      </c>
      <c r="J52" s="5">
        <v>800</v>
      </c>
      <c r="K52" s="5">
        <v>520</v>
      </c>
      <c r="L52" s="5">
        <f t="shared" si="2"/>
        <v>280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</row>
    <row r="53" spans="1:63" ht="42.75">
      <c r="A53" s="9" t="s">
        <v>96</v>
      </c>
      <c r="B53" s="3" t="s">
        <v>96</v>
      </c>
      <c r="C53" s="4"/>
      <c r="D53" s="4"/>
      <c r="E53" s="10" t="s">
        <v>118</v>
      </c>
      <c r="F53" s="5">
        <f t="shared" si="1"/>
        <v>800</v>
      </c>
      <c r="G53" s="5"/>
      <c r="H53" s="5" t="b">
        <v>1</v>
      </c>
      <c r="I53" s="5">
        <v>530</v>
      </c>
      <c r="J53" s="5">
        <v>800</v>
      </c>
      <c r="K53" s="5">
        <v>520</v>
      </c>
      <c r="L53" s="5">
        <f t="shared" si="2"/>
        <v>280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</row>
    <row r="54" spans="1:63">
      <c r="A54" s="9" t="s">
        <v>97</v>
      </c>
      <c r="B54" s="3" t="s">
        <v>97</v>
      </c>
      <c r="C54" s="4"/>
      <c r="D54" s="4"/>
      <c r="E54" s="10" t="s">
        <v>119</v>
      </c>
      <c r="F54" s="5">
        <f t="shared" si="1"/>
        <v>12000</v>
      </c>
      <c r="G54" s="5"/>
      <c r="H54" s="5" t="b">
        <v>1</v>
      </c>
      <c r="I54" s="5">
        <v>540</v>
      </c>
      <c r="J54" s="5">
        <v>12000</v>
      </c>
      <c r="K54" s="5">
        <v>7800</v>
      </c>
      <c r="L54" s="5">
        <f t="shared" si="2"/>
        <v>4200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</row>
    <row r="55" spans="1:63" ht="28.5">
      <c r="A55" s="9" t="s">
        <v>98</v>
      </c>
      <c r="B55" s="3" t="s">
        <v>98</v>
      </c>
      <c r="C55" s="4"/>
      <c r="D55" s="4"/>
      <c r="E55" s="10" t="s">
        <v>120</v>
      </c>
      <c r="F55" s="5">
        <f t="shared" si="1"/>
        <v>60</v>
      </c>
      <c r="G55" s="5"/>
      <c r="H55" s="5" t="b">
        <v>1</v>
      </c>
      <c r="I55" s="5">
        <v>550</v>
      </c>
      <c r="J55" s="5">
        <v>60</v>
      </c>
      <c r="K55" s="5">
        <v>32</v>
      </c>
      <c r="L55" s="5">
        <f t="shared" si="2"/>
        <v>28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</row>
    <row r="56" spans="1:63" ht="85.5">
      <c r="A56" s="9" t="s">
        <v>121</v>
      </c>
      <c r="B56" s="3" t="s">
        <v>121</v>
      </c>
      <c r="C56" s="4" t="s">
        <v>23</v>
      </c>
      <c r="D56" s="4" t="s">
        <v>24</v>
      </c>
      <c r="E56" s="10" t="s">
        <v>123</v>
      </c>
      <c r="F56" s="5">
        <f t="shared" si="1"/>
        <v>1150</v>
      </c>
      <c r="G56" s="5"/>
      <c r="H56" s="5" t="b">
        <v>1</v>
      </c>
      <c r="I56" s="5">
        <v>560</v>
      </c>
      <c r="J56" s="5">
        <v>1150</v>
      </c>
      <c r="K56" s="5">
        <v>760</v>
      </c>
      <c r="L56" s="5">
        <f t="shared" ref="L56:L70" si="3">J56-K56</f>
        <v>390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</row>
    <row r="57" spans="1:63" ht="85.5">
      <c r="A57" s="9" t="s">
        <v>122</v>
      </c>
      <c r="B57" s="3" t="s">
        <v>122</v>
      </c>
      <c r="C57" s="4" t="s">
        <v>23</v>
      </c>
      <c r="D57" s="4" t="s">
        <v>24</v>
      </c>
      <c r="E57" s="10" t="s">
        <v>124</v>
      </c>
      <c r="F57" s="5">
        <f t="shared" si="1"/>
        <v>1850</v>
      </c>
      <c r="G57" s="5"/>
      <c r="H57" s="5" t="b">
        <v>1</v>
      </c>
      <c r="I57" s="5">
        <v>570</v>
      </c>
      <c r="J57" s="5">
        <v>1850</v>
      </c>
      <c r="K57" s="5">
        <v>1230</v>
      </c>
      <c r="L57" s="5">
        <f t="shared" si="3"/>
        <v>620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</row>
    <row r="58" spans="1:63" ht="85.5">
      <c r="A58" s="9" t="s">
        <v>121</v>
      </c>
      <c r="B58" s="3" t="s">
        <v>121</v>
      </c>
      <c r="C58" s="4" t="s">
        <v>13</v>
      </c>
      <c r="D58" s="4" t="s">
        <v>14</v>
      </c>
      <c r="E58" s="10" t="s">
        <v>123</v>
      </c>
      <c r="F58" s="5">
        <f t="shared" si="1"/>
        <v>1150</v>
      </c>
      <c r="G58" s="5"/>
      <c r="H58" s="5" t="b">
        <v>1</v>
      </c>
      <c r="I58" s="5">
        <v>580</v>
      </c>
      <c r="J58" s="5">
        <v>1150</v>
      </c>
      <c r="K58" s="5">
        <v>760</v>
      </c>
      <c r="L58" s="5">
        <f t="shared" si="3"/>
        <v>390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</row>
    <row r="59" spans="1:63" ht="85.5">
      <c r="A59" s="9" t="s">
        <v>122</v>
      </c>
      <c r="B59" s="3" t="s">
        <v>122</v>
      </c>
      <c r="C59" s="4" t="s">
        <v>13</v>
      </c>
      <c r="D59" s="4" t="s">
        <v>14</v>
      </c>
      <c r="E59" s="10" t="s">
        <v>124</v>
      </c>
      <c r="F59" s="5">
        <f t="shared" si="1"/>
        <v>1850</v>
      </c>
      <c r="G59" s="5"/>
      <c r="H59" s="5" t="b">
        <v>1</v>
      </c>
      <c r="I59" s="5">
        <v>590</v>
      </c>
      <c r="J59" s="5">
        <v>1850</v>
      </c>
      <c r="K59" s="5">
        <v>1230</v>
      </c>
      <c r="L59" s="5">
        <f t="shared" si="3"/>
        <v>620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</row>
    <row r="60" spans="1:63" ht="71.25">
      <c r="A60" s="9" t="s">
        <v>125</v>
      </c>
      <c r="B60" s="3" t="s">
        <v>125</v>
      </c>
      <c r="C60" s="4" t="s">
        <v>13</v>
      </c>
      <c r="D60" s="4" t="s">
        <v>14</v>
      </c>
      <c r="E60" s="10" t="s">
        <v>129</v>
      </c>
      <c r="F60" s="5">
        <f t="shared" si="1"/>
        <v>2300</v>
      </c>
      <c r="G60" s="5"/>
      <c r="H60" s="5" t="b">
        <v>1</v>
      </c>
      <c r="I60" s="5">
        <v>600</v>
      </c>
      <c r="J60" s="5">
        <v>2300</v>
      </c>
      <c r="K60" s="5">
        <v>1495</v>
      </c>
      <c r="L60" s="5">
        <f t="shared" si="3"/>
        <v>805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</row>
    <row r="61" spans="1:63" ht="71.25">
      <c r="A61" s="9" t="s">
        <v>12</v>
      </c>
      <c r="B61" s="3" t="s">
        <v>12</v>
      </c>
      <c r="C61" s="4" t="s">
        <v>13</v>
      </c>
      <c r="D61" s="4" t="s">
        <v>14</v>
      </c>
      <c r="E61" s="10" t="s">
        <v>130</v>
      </c>
      <c r="F61" s="5">
        <f t="shared" si="1"/>
        <v>2300</v>
      </c>
      <c r="G61" s="5"/>
      <c r="H61" s="5" t="b">
        <v>1</v>
      </c>
      <c r="I61" s="5">
        <v>610</v>
      </c>
      <c r="J61" s="5">
        <v>2300</v>
      </c>
      <c r="K61" s="5">
        <v>1495</v>
      </c>
      <c r="L61" s="5">
        <f t="shared" si="3"/>
        <v>805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</row>
    <row r="62" spans="1:63" ht="71.25">
      <c r="A62" s="9" t="s">
        <v>126</v>
      </c>
      <c r="B62" s="3" t="s">
        <v>126</v>
      </c>
      <c r="C62" s="4" t="s">
        <v>13</v>
      </c>
      <c r="D62" s="4" t="s">
        <v>14</v>
      </c>
      <c r="E62" s="10" t="s">
        <v>131</v>
      </c>
      <c r="F62" s="5">
        <f t="shared" si="1"/>
        <v>20000</v>
      </c>
      <c r="G62" s="5"/>
      <c r="H62" s="5" t="b">
        <v>1</v>
      </c>
      <c r="I62" s="5">
        <v>620</v>
      </c>
      <c r="J62" s="5">
        <v>20000</v>
      </c>
      <c r="K62" s="5">
        <v>13000</v>
      </c>
      <c r="L62" s="5">
        <f t="shared" si="3"/>
        <v>7000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</row>
    <row r="63" spans="1:63" ht="99.75">
      <c r="A63" s="9" t="s">
        <v>127</v>
      </c>
      <c r="B63" s="3" t="s">
        <v>127</v>
      </c>
      <c r="C63" s="4" t="s">
        <v>13</v>
      </c>
      <c r="D63" s="4" t="s">
        <v>14</v>
      </c>
      <c r="E63" s="10" t="s">
        <v>132</v>
      </c>
      <c r="F63" s="5">
        <f t="shared" si="1"/>
        <v>1000</v>
      </c>
      <c r="G63" s="5"/>
      <c r="H63" s="5" t="b">
        <v>1</v>
      </c>
      <c r="I63" s="5">
        <v>630</v>
      </c>
      <c r="J63" s="5">
        <v>1000</v>
      </c>
      <c r="K63" s="5">
        <v>650</v>
      </c>
      <c r="L63" s="5">
        <f t="shared" si="3"/>
        <v>350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</row>
    <row r="64" spans="1:63" ht="57">
      <c r="A64" s="9" t="s">
        <v>128</v>
      </c>
      <c r="B64" s="3" t="s">
        <v>128</v>
      </c>
      <c r="C64" s="4" t="s">
        <v>13</v>
      </c>
      <c r="D64" s="4" t="s">
        <v>14</v>
      </c>
      <c r="E64" s="10" t="s">
        <v>133</v>
      </c>
      <c r="F64" s="5">
        <f t="shared" si="1"/>
        <v>300</v>
      </c>
      <c r="G64" s="5"/>
      <c r="H64" s="5" t="b">
        <v>1</v>
      </c>
      <c r="I64" s="5">
        <v>640</v>
      </c>
      <c r="J64" s="5">
        <v>300</v>
      </c>
      <c r="K64" s="5">
        <v>195</v>
      </c>
      <c r="L64" s="5">
        <f t="shared" si="3"/>
        <v>105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</row>
    <row r="65" spans="1:63" ht="85.5">
      <c r="A65" s="17" t="s">
        <v>135</v>
      </c>
      <c r="B65" s="19" t="s">
        <v>134</v>
      </c>
      <c r="C65" s="4" t="s">
        <v>28</v>
      </c>
      <c r="D65" s="4" t="s">
        <v>29</v>
      </c>
      <c r="E65" s="10" t="s">
        <v>136</v>
      </c>
      <c r="F65" s="5">
        <f t="shared" si="1"/>
        <v>6650</v>
      </c>
      <c r="G65" s="5"/>
      <c r="H65" s="5" t="b">
        <v>1</v>
      </c>
      <c r="I65" s="5">
        <v>650</v>
      </c>
      <c r="J65" s="5">
        <v>6650</v>
      </c>
      <c r="K65" s="5">
        <v>5120</v>
      </c>
      <c r="L65" s="5">
        <f t="shared" si="3"/>
        <v>1530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</row>
    <row r="66" spans="1:63" ht="99.75">
      <c r="A66" s="17" t="s">
        <v>139</v>
      </c>
      <c r="B66" s="19" t="s">
        <v>134</v>
      </c>
      <c r="C66" s="4" t="s">
        <v>28</v>
      </c>
      <c r="D66" s="4" t="s">
        <v>29</v>
      </c>
      <c r="E66" s="10" t="s">
        <v>137</v>
      </c>
      <c r="F66" s="5">
        <f t="shared" ref="F66:F70" si="4">J66</f>
        <v>7340</v>
      </c>
      <c r="G66" s="5"/>
      <c r="H66" s="5" t="b">
        <v>1</v>
      </c>
      <c r="I66" s="5">
        <v>660</v>
      </c>
      <c r="J66" s="5">
        <v>7340</v>
      </c>
      <c r="K66" s="5">
        <v>5440</v>
      </c>
      <c r="L66" s="5">
        <f t="shared" si="3"/>
        <v>1900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</row>
    <row r="67" spans="1:63" ht="99.75">
      <c r="A67" s="17" t="s">
        <v>140</v>
      </c>
      <c r="B67" s="19" t="s">
        <v>134</v>
      </c>
      <c r="C67" s="4" t="s">
        <v>28</v>
      </c>
      <c r="D67" s="4" t="s">
        <v>29</v>
      </c>
      <c r="E67" s="10" t="s">
        <v>138</v>
      </c>
      <c r="F67" s="5">
        <f t="shared" si="4"/>
        <v>8100</v>
      </c>
      <c r="G67" s="5"/>
      <c r="H67" s="5" t="b">
        <v>1</v>
      </c>
      <c r="I67" s="5">
        <v>670</v>
      </c>
      <c r="J67" s="5">
        <v>8100</v>
      </c>
      <c r="K67" s="5">
        <v>6000</v>
      </c>
      <c r="L67" s="5">
        <f t="shared" si="3"/>
        <v>2100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</row>
    <row r="68" spans="1:63">
      <c r="A68" s="16"/>
      <c r="B68" s="18"/>
      <c r="C68" s="4"/>
      <c r="D68" s="4"/>
      <c r="E68" s="10"/>
      <c r="F68" s="5">
        <f t="shared" si="4"/>
        <v>0</v>
      </c>
      <c r="G68" s="5"/>
      <c r="H68" s="5" t="b">
        <v>1</v>
      </c>
      <c r="I68" s="5">
        <v>680</v>
      </c>
      <c r="J68" s="5"/>
      <c r="K68" s="5"/>
      <c r="L68" s="5">
        <f t="shared" si="3"/>
        <v>0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</row>
    <row r="69" spans="1:63" ht="14.25" customHeight="1">
      <c r="A69" s="17" t="s">
        <v>25</v>
      </c>
      <c r="B69" s="3" t="s">
        <v>141</v>
      </c>
      <c r="C69" s="4" t="s">
        <v>26</v>
      </c>
      <c r="D69" s="4" t="s">
        <v>27</v>
      </c>
      <c r="E69" s="10" t="s">
        <v>144</v>
      </c>
      <c r="F69" s="5">
        <f t="shared" si="4"/>
        <v>520</v>
      </c>
      <c r="G69" s="5"/>
      <c r="H69" s="5" t="b">
        <v>1</v>
      </c>
      <c r="I69" s="5">
        <v>690</v>
      </c>
      <c r="J69" s="5">
        <v>520</v>
      </c>
      <c r="K69" s="5">
        <v>280.77</v>
      </c>
      <c r="L69" s="5">
        <f t="shared" si="3"/>
        <v>239.23000000000002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</row>
    <row r="70" spans="1:63" ht="14.25" customHeight="1">
      <c r="A70" s="20" t="s">
        <v>143</v>
      </c>
      <c r="B70" s="21" t="s">
        <v>142</v>
      </c>
      <c r="C70" s="22" t="s">
        <v>26</v>
      </c>
      <c r="D70" s="22" t="s">
        <v>27</v>
      </c>
      <c r="E70" s="23" t="s">
        <v>145</v>
      </c>
      <c r="F70" s="13">
        <f t="shared" si="4"/>
        <v>770</v>
      </c>
      <c r="G70" s="13"/>
      <c r="H70" s="13" t="b">
        <v>1</v>
      </c>
      <c r="I70" s="13">
        <v>700</v>
      </c>
      <c r="J70" s="13">
        <v>770</v>
      </c>
      <c r="K70" s="13">
        <v>420</v>
      </c>
      <c r="L70" s="13">
        <f t="shared" si="3"/>
        <v>350</v>
      </c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equipment_catalog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user6</cp:lastModifiedBy>
  <cp:lastPrinted>2026-06-02T11:58:02Z</cp:lastPrinted>
  <dcterms:created xsi:type="dcterms:W3CDTF">2026-06-02T10:58:02Z</dcterms:created>
  <dcterms:modified xsi:type="dcterms:W3CDTF">2026-06-02T12:16:05Z</dcterms:modified>
</cp:coreProperties>
</file>